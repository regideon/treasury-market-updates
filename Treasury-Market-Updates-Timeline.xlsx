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 Summary" sheetId="1" state="visible" r:id="rId1"/>
    <sheet name="AI vs Manual (detail)" sheetId="2" state="visible" r:id="rId2"/>
    <sheet name="Requirements" sheetId="3" state="visible" r:id="rId3"/>
    <sheet name="1-Day P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2A5B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B2A5B"/>
      </patternFill>
    </fill>
    <fill>
      <patternFill patternType="solid">
        <fgColor rgb="00E8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70" customWidth="1" min="3" max="3"/>
    <col width="13" customWidth="1" min="4" max="4"/>
  </cols>
  <sheetData>
    <row r="1">
      <c r="A1" s="1" t="inlineStr">
        <is>
          <t>Treasury Market Updates - Development Timeline</t>
        </is>
      </c>
    </row>
    <row r="2">
      <c r="A2" s="2" t="inlineStr">
        <is>
          <t>One mid-level Laravel / Filament developer, solo.  8 hours = 1 manday.  AI = built with Claude Code (developer still reviews, tests, integrates).</t>
        </is>
      </c>
    </row>
    <row r="4">
      <c r="A4" s="3" t="inlineStr">
        <is>
          <t>#</t>
        </is>
      </c>
      <c r="B4" s="3" t="inlineStr">
        <is>
          <t>Work item</t>
        </is>
      </c>
      <c r="C4" s="3" t="inlineStr">
        <is>
          <t>What it covers</t>
        </is>
      </c>
      <c r="D4" s="3" t="inlineStr">
        <is>
          <t>AI mandays</t>
        </is>
      </c>
    </row>
    <row r="5">
      <c r="A5" s="4" t="n">
        <v>1</v>
      </c>
      <c r="B5" s="4" t="inlineStr">
        <is>
          <t>Foundation &amp; setup</t>
        </is>
      </c>
      <c r="C5" s="5" t="inlineStr">
        <is>
          <t>Project scaffold, login, user accounts, database</t>
        </is>
      </c>
      <c r="D5" s="6" t="n">
        <v>2</v>
      </c>
    </row>
    <row r="6">
      <c r="A6" s="4" t="n">
        <v>2</v>
      </c>
      <c r="B6" s="4" t="inlineStr">
        <is>
          <t>Daily data-collection engine</t>
        </is>
      </c>
      <c r="C6" s="5" t="inlineStr">
        <is>
          <t>System that pulls, checks and stores the rates every evening, with retries and error logging</t>
        </is>
      </c>
      <c r="D6" s="6" t="n">
        <v>2.5</v>
      </c>
    </row>
    <row r="7">
      <c r="A7" s="4" t="n">
        <v>3</v>
      </c>
      <c r="B7" s="4" t="inlineStr">
        <is>
          <t>Connecting the market data sources</t>
        </is>
      </c>
      <c r="C7" s="5" t="inlineStr">
        <is>
          <t>BSP rates, FX summary, BVAL, PSE stocks, inflation &amp; GDP, oil, and the paid vendor for gold / wheat / LME lead</t>
        </is>
      </c>
      <c r="D7" s="6" t="n">
        <v>12</v>
      </c>
    </row>
    <row r="8">
      <c r="A8" s="4" t="n">
        <v>4</v>
      </c>
      <c r="B8" s="4" t="inlineStr">
        <is>
          <t>Loading 1 year of history</t>
        </is>
      </c>
      <c r="C8" s="5" t="inlineStr">
        <is>
          <t>Backfilling every chart so trends show from day one</t>
        </is>
      </c>
      <c r="D8" s="6" t="n">
        <v>5</v>
      </c>
    </row>
    <row r="9">
      <c r="A9" s="4" t="n">
        <v>5</v>
      </c>
      <c r="B9" s="4" t="inlineStr">
        <is>
          <t>Building the dashboard screens</t>
        </is>
      </c>
      <c r="C9" s="5" t="inlineStr">
        <is>
          <t>Card layout from the screenshots, sections / tabs, value + change indicators, all charts, click-through detail view</t>
        </is>
      </c>
      <c r="D9" s="6" t="n">
        <v>6.5</v>
      </c>
    </row>
    <row r="10">
      <c r="A10" s="4" t="n">
        <v>6</v>
      </c>
      <c r="B10" s="4" t="inlineStr">
        <is>
          <t>Admin &amp; monitoring tools</t>
        </is>
      </c>
      <c r="C10" s="5" t="inlineStr">
        <is>
          <t>Manage sources, re-run a pull, override a value, set alert thresholds</t>
        </is>
      </c>
      <c r="D10" s="6" t="n">
        <v>2.5</v>
      </c>
    </row>
    <row r="11">
      <c r="A11" s="4" t="n">
        <v>7</v>
      </c>
      <c r="B11" s="4" t="inlineStr">
        <is>
          <t>Rate-sheet export &amp; alerts</t>
        </is>
      </c>
      <c r="C11" s="5" t="inlineStr">
        <is>
          <t>One-click Excel matching Treasury's current file; email alerts for failures, stale data and big moves</t>
        </is>
      </c>
      <c r="D11" s="6" t="n">
        <v>3</v>
      </c>
    </row>
    <row r="12">
      <c r="A12" s="4" t="n">
        <v>8</v>
      </c>
      <c r="B12" s="4" t="inlineStr">
        <is>
          <t>Testing &amp; reliability</t>
        </is>
      </c>
      <c r="C12" s="5" t="inlineStr">
        <is>
          <t>Automated tests and hardening so daily pulls don't silently break</t>
        </is>
      </c>
      <c r="D12" s="6" t="n">
        <v>4.5</v>
      </c>
    </row>
    <row r="13">
      <c r="A13" s="4" t="n">
        <v>9</v>
      </c>
      <c r="B13" s="4" t="inlineStr">
        <is>
          <t>Planning, sign-off, docs &amp; user testing</t>
        </is>
      </c>
      <c r="C13" s="5" t="inlineStr">
        <is>
          <t>Requirements, design approval, runbook, UAT with Treasury and Jonar</t>
        </is>
      </c>
      <c r="D13" s="6" t="n">
        <v>5</v>
      </c>
    </row>
    <row r="14">
      <c r="A14" s="7" t="n"/>
      <c r="B14" s="8" t="inlineStr">
        <is>
          <t>Subtotal</t>
        </is>
      </c>
      <c r="C14" s="7" t="n"/>
      <c r="D14" s="8" t="n">
        <v>43</v>
      </c>
    </row>
    <row r="15">
      <c r="A15" s="4" t="n"/>
      <c r="B15" s="4" t="inlineStr">
        <is>
          <t>Buffer (~15%)</t>
        </is>
      </c>
      <c r="C15" s="4" t="n"/>
      <c r="D15" s="4" t="n">
        <v>7</v>
      </c>
    </row>
    <row r="16">
      <c r="A16" s="7" t="n"/>
      <c r="B16" s="9" t="inlineStr">
        <is>
          <t>TOTAL</t>
        </is>
      </c>
      <c r="C16" s="7" t="n"/>
      <c r="D16" s="9" t="n">
        <v>50</v>
      </c>
    </row>
    <row r="18">
      <c r="B18" s="10" t="inlineStr">
        <is>
          <t>Calendar estimate</t>
        </is>
      </c>
    </row>
    <row r="19">
      <c r="B19" t="inlineStr">
        <is>
          <t>With Claude Code</t>
        </is>
      </c>
      <c r="C19" t="inlineStr">
        <is>
          <t>~50 mandays  -&gt;  ~10 working weeks  -&gt;  ~2.5 months</t>
        </is>
      </c>
    </row>
    <row r="20">
      <c r="B20" t="inlineStr">
        <is>
          <t>Manual (no AI)</t>
        </is>
      </c>
      <c r="C20" t="inlineStr">
        <is>
          <t>~107 mandays  -&gt;  ~21 working weeks  -&gt;  ~5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8" customWidth="1" min="2" max="2"/>
    <col width="13" customWidth="1" min="3" max="3"/>
    <col width="15" customWidth="1" min="4" max="4"/>
  </cols>
  <sheetData>
    <row r="1">
      <c r="A1" s="1" t="inlineStr">
        <is>
          <t>Detailed breakdown - AI vs Manual mandays</t>
        </is>
      </c>
    </row>
    <row r="2">
      <c r="A2" s="2" t="inlineStr">
        <is>
          <t>AI mandays = developer driving Claude Code.  Manual mandays = same developer, no AI.</t>
        </is>
      </c>
    </row>
    <row r="4">
      <c r="A4" s="3" t="inlineStr">
        <is>
          <t>#</t>
        </is>
      </c>
      <c r="B4" s="3" t="inlineStr">
        <is>
          <t>Feature / work item</t>
        </is>
      </c>
      <c r="C4" s="3" t="inlineStr">
        <is>
          <t>AI mandays</t>
        </is>
      </c>
      <c r="D4" s="3" t="inlineStr">
        <is>
          <t>Manual mandays</t>
        </is>
      </c>
    </row>
    <row r="5">
      <c r="A5" s="6" t="n">
        <v>1</v>
      </c>
      <c r="B5" s="5" t="inlineStr">
        <is>
          <t>Project setup &amp; base configuration (Laravel 11, Filament v3, repo, CI)</t>
        </is>
      </c>
      <c r="C5" s="6" t="n">
        <v>0.5</v>
      </c>
      <c r="D5" s="6" t="n">
        <v>1.5</v>
      </c>
    </row>
    <row r="6">
      <c r="A6" s="6" t="n">
        <v>2</v>
      </c>
      <c r="B6" s="5" t="inlineStr">
        <is>
          <t>Auth, roles, permissions &amp; user management</t>
        </is>
      </c>
      <c r="C6" s="6" t="n">
        <v>0.75</v>
      </c>
      <c r="D6" s="6" t="n">
        <v>2</v>
      </c>
    </row>
    <row r="7">
      <c r="A7" s="6" t="n">
        <v>3</v>
      </c>
      <c r="B7" s="5" t="inlineStr">
        <is>
          <t>Database schema &amp; migrations (8 tables)</t>
        </is>
      </c>
      <c r="C7" s="6" t="n">
        <v>0.75</v>
      </c>
      <c r="D7" s="6" t="n">
        <v>2</v>
      </c>
    </row>
    <row r="8">
      <c r="A8" s="6" t="n">
        <v>4</v>
      </c>
      <c r="B8" s="5" t="inlineStr">
        <is>
          <t>Data-pipeline core (fetcher abstraction, source registry, EOD orchestrator, queue, retries, run logging)</t>
        </is>
      </c>
      <c r="C8" s="6" t="n">
        <v>1.5</v>
      </c>
      <c r="D8" s="6" t="n">
        <v>3.5</v>
      </c>
    </row>
    <row r="9">
      <c r="A9" s="6" t="n">
        <v>5</v>
      </c>
      <c r="B9" s="5" t="inlineStr">
        <is>
          <t>Validation framework, raw-snapshot archival, holiday / business-day logic</t>
        </is>
      </c>
      <c r="C9" s="6" t="n">
        <v>1</v>
      </c>
      <c r="D9" s="6" t="n">
        <v>2.5</v>
      </c>
    </row>
    <row r="10">
      <c r="A10" s="6" t="n">
        <v>6</v>
      </c>
      <c r="B10" s="5" t="inlineStr">
        <is>
          <t>Market-data vendor evaluation &amp; procurement POC</t>
        </is>
      </c>
      <c r="C10" s="6" t="n">
        <v>1.5</v>
      </c>
      <c r="D10" s="6" t="n">
        <v>2</v>
      </c>
    </row>
    <row r="11">
      <c r="A11" s="6" t="n">
        <v>7</v>
      </c>
      <c r="B11" s="5" t="inlineStr">
        <is>
          <t>BSP Keys scraper</t>
        </is>
      </c>
      <c r="C11" s="6" t="n">
        <v>1.5</v>
      </c>
      <c r="D11" s="6" t="n">
        <v>3</v>
      </c>
    </row>
    <row r="12">
      <c r="A12" s="6" t="n">
        <v>8</v>
      </c>
      <c r="B12" s="5" t="inlineStr">
        <is>
          <t>BSP FX / Daily RERB + BAP weighted-averages scraper</t>
        </is>
      </c>
      <c r="C12" s="6" t="n">
        <v>1.5</v>
      </c>
      <c r="D12" s="6" t="n">
        <v>3</v>
      </c>
    </row>
    <row r="13">
      <c r="A13" s="6" t="n">
        <v>9</v>
      </c>
      <c r="B13" s="5" t="inlineStr">
        <is>
          <t>PDS PHP BVAL reference rates parser (table / PDF)</t>
        </is>
      </c>
      <c r="C13" s="6" t="n">
        <v>2</v>
      </c>
      <c r="D13" s="6" t="n">
        <v>3.5</v>
      </c>
    </row>
    <row r="14">
      <c r="A14" s="6" t="n">
        <v>10</v>
      </c>
      <c r="B14" s="5" t="inlineStr">
        <is>
          <t>PSE Edge integration (indices, market summary, TRI, thematic)</t>
        </is>
      </c>
      <c r="C14" s="6" t="n">
        <v>1.5</v>
      </c>
      <c r="D14" s="6" t="n">
        <v>3</v>
      </c>
    </row>
    <row r="15">
      <c r="A15" s="6" t="n">
        <v>11</v>
      </c>
      <c r="B15" s="5" t="inlineStr">
        <is>
          <t>PSA Inflation + GDP scrapers (with verify step)</t>
        </is>
      </c>
      <c r="C15" s="6" t="n">
        <v>2.25</v>
      </c>
      <c r="D15" s="6" t="n">
        <v>4.5</v>
      </c>
    </row>
    <row r="16">
      <c r="A16" s="6" t="n">
        <v>12</v>
      </c>
      <c r="B16" s="5" t="inlineStr">
        <is>
          <t>EIA Brent API + commodities vendor API (gold, wheat, LME lead + curve)</t>
        </is>
      </c>
      <c r="C16" s="6" t="n">
        <v>1.75</v>
      </c>
      <c r="D16" s="6" t="n">
        <v>4.5</v>
      </c>
    </row>
    <row r="17">
      <c r="A17" s="6" t="n">
        <v>13</v>
      </c>
      <c r="B17" s="5" t="inlineStr">
        <is>
          <t>Historical backfill (generic command, adapters, BVAL history assembly, QA)</t>
        </is>
      </c>
      <c r="C17" s="6" t="n">
        <v>5</v>
      </c>
      <c r="D17" s="6" t="n">
        <v>9.5</v>
      </c>
    </row>
    <row r="18">
      <c r="A18" s="6" t="n">
        <v>14</v>
      </c>
      <c r="B18" s="5" t="inlineStr">
        <is>
          <t>Dashboard layout (page, section tabs, card grid, stat cards, delta, stale badges)</t>
        </is>
      </c>
      <c r="C18" s="6" t="n">
        <v>1.75</v>
      </c>
      <c r="D18" s="6" t="n">
        <v>5</v>
      </c>
    </row>
    <row r="19">
      <c r="A19" s="6" t="n">
        <v>15</v>
      </c>
      <c r="B19" s="5" t="inlineStr">
        <is>
          <t>Sparklines + drill-down drawer (history chart, data table, CSV export)</t>
        </is>
      </c>
      <c r="C19" s="6" t="n">
        <v>1.75</v>
      </c>
      <c r="D19" s="6" t="n">
        <v>4.5</v>
      </c>
    </row>
    <row r="20">
      <c r="A20" s="6" t="n">
        <v>16</v>
      </c>
      <c r="B20" s="5" t="inlineStr">
        <is>
          <t>Curve charts (BVAL, LME) + 1-year commodity history charts</t>
        </is>
      </c>
      <c r="C20" s="6" t="n">
        <v>1.25</v>
      </c>
      <c r="D20" s="6" t="n">
        <v>3.5</v>
      </c>
    </row>
    <row r="21">
      <c r="A21" s="6" t="n">
        <v>17</v>
      </c>
      <c r="B21" s="5" t="inlineStr">
        <is>
          <t>Freshness banner, auto-refresh, responsive &amp; cross-browser QA</t>
        </is>
      </c>
      <c r="C21" s="6" t="n">
        <v>1.5</v>
      </c>
      <c r="D21" s="6" t="n">
        <v>3</v>
      </c>
    </row>
    <row r="22">
      <c r="A22" s="6" t="n">
        <v>18</v>
      </c>
      <c r="B22" s="5" t="inlineStr">
        <is>
          <t>Filament admin resources (source config, run-log + snapshot viewer, indicator browser)</t>
        </is>
      </c>
      <c r="C22" s="6" t="n">
        <v>1</v>
      </c>
      <c r="D22" s="6" t="n">
        <v>3</v>
      </c>
    </row>
    <row r="23">
      <c r="A23" s="6" t="n">
        <v>19</v>
      </c>
      <c r="B23" s="5" t="inlineStr">
        <is>
          <t>Manual run / value-override actions + audit trail + alert-threshold UI</t>
        </is>
      </c>
      <c r="C23" s="6" t="n">
        <v>1.75</v>
      </c>
      <c r="D23" s="6" t="n">
        <v>4.5</v>
      </c>
    </row>
    <row r="24">
      <c r="A24" s="6" t="n">
        <v>20</v>
      </c>
      <c r="B24" s="5" t="inlineStr">
        <is>
          <t>Excel rate-sheet export matching Treasury's current spreadsheet exactly</t>
        </is>
      </c>
      <c r="C24" s="6" t="n">
        <v>1.5</v>
      </c>
      <c r="D24" s="6" t="n">
        <v>3</v>
      </c>
    </row>
    <row r="25">
      <c r="A25" s="6" t="n">
        <v>21</v>
      </c>
      <c r="B25" s="5" t="inlineStr">
        <is>
          <t>Notifications (failure / stale / big-move alerts, morning digest, Teams / Slack)</t>
        </is>
      </c>
      <c r="C25" s="6" t="n">
        <v>1.5</v>
      </c>
      <c r="D25" s="6" t="n">
        <v>4</v>
      </c>
    </row>
    <row r="26">
      <c r="A26" s="6" t="n">
        <v>22</v>
      </c>
      <c r="B26" s="5" t="inlineStr">
        <is>
          <t>Automated tests (pipeline integration, dashboard, permissions)</t>
        </is>
      </c>
      <c r="C26" s="6" t="n">
        <v>1.5</v>
      </c>
      <c r="D26" s="6" t="n">
        <v>4</v>
      </c>
    </row>
    <row r="27">
      <c r="A27" s="6" t="n">
        <v>23</v>
      </c>
      <c r="B27" s="5" t="inlineStr">
        <is>
          <t>Error-handling hardening, circuit breakers + QA bug-fix buffer</t>
        </is>
      </c>
      <c r="C27" s="6" t="n">
        <v>3</v>
      </c>
      <c r="D27" s="6" t="n">
        <v>5</v>
      </c>
    </row>
    <row r="28">
      <c r="A28" s="6" t="n">
        <v>24</v>
      </c>
      <c r="B28" s="5" t="inlineStr">
        <is>
          <t>Requirements gathering, source-URL confirmation, design sign-off</t>
        </is>
      </c>
      <c r="C28" s="6" t="n">
        <v>1.5</v>
      </c>
      <c r="D28" s="6" t="n">
        <v>2</v>
      </c>
    </row>
    <row r="29">
      <c r="A29" s="6" t="n">
        <v>25</v>
      </c>
      <c r="B29" s="5" t="inlineStr">
        <is>
          <t>App-level deployment config + runbook &amp; user / admin documentation</t>
        </is>
      </c>
      <c r="C29" s="6" t="n">
        <v>1.25</v>
      </c>
      <c r="D29" s="6" t="n">
        <v>3.5</v>
      </c>
    </row>
    <row r="30">
      <c r="A30" s="6" t="n">
        <v>26</v>
      </c>
      <c r="B30" s="5" t="inlineStr">
        <is>
          <t>UAT support &amp; revision cycles with Treasury / Jonar</t>
        </is>
      </c>
      <c r="C30" s="6" t="n">
        <v>2</v>
      </c>
      <c r="D30" s="6" t="n">
        <v>3</v>
      </c>
    </row>
    <row r="31">
      <c r="A31" s="7" t="n"/>
      <c r="B31" s="8" t="inlineStr">
        <is>
          <t>Core subtotal</t>
        </is>
      </c>
      <c r="C31" s="8">
        <f>SUM(C5:C30)</f>
        <v/>
      </c>
      <c r="D31" s="8">
        <f>SUM(D5:D30)</f>
        <v/>
      </c>
    </row>
    <row r="32">
      <c r="A32" s="4" t="n"/>
      <c r="B32" s="4" t="inlineStr">
        <is>
          <t>Contingency (~15%)</t>
        </is>
      </c>
      <c r="C32" s="4">
        <f>ROUND(C31*0.15,0)</f>
        <v/>
      </c>
      <c r="D32" s="4">
        <f>ROUND(D31*0.15,0)</f>
        <v/>
      </c>
    </row>
    <row r="33">
      <c r="A33" s="7" t="n"/>
      <c r="B33" s="9" t="inlineStr">
        <is>
          <t>TOTAL</t>
        </is>
      </c>
      <c r="C33" s="9">
        <f>C31+C32</f>
        <v/>
      </c>
      <c r="D33" s="9">
        <f>D31+D32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68" customWidth="1" min="3" max="3"/>
    <col width="22" customWidth="1" min="4" max="4"/>
  </cols>
  <sheetData>
    <row r="1">
      <c r="A1" s="1" t="inlineStr">
        <is>
          <t>Requirements - APIs, services &amp; inputs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Purpose / notes</t>
        </is>
      </c>
      <c r="D3" s="3" t="inlineStr">
        <is>
          <t>Cost</t>
        </is>
      </c>
    </row>
    <row r="4">
      <c r="A4" s="5" t="inlineStr">
        <is>
          <t>Must purchase</t>
        </is>
      </c>
      <c r="B4" s="5" t="inlineStr">
        <is>
          <t>Consolidated market-data API (e.g. Trading Economics)</t>
        </is>
      </c>
      <c r="C4" s="5" t="inlineStr">
        <is>
          <t>Primary feed: USD/PHP, Gold, Wheat, Brent, LME Lead WITH redistribution rights, plus PH inflation &amp; GDP and history for backfill. Confirm LME redistribution tier.</t>
        </is>
      </c>
      <c r="D4" s="5" t="inlineStr">
        <is>
          <t>Commercial / quote-based</t>
        </is>
      </c>
    </row>
    <row r="5">
      <c r="A5" s="5" t="inlineStr">
        <is>
          <t>Pursue now</t>
        </is>
      </c>
      <c r="B5" s="5" t="inlineStr">
        <is>
          <t>PDS / PDEx official BVAL data feed</t>
        </is>
      </c>
      <c r="C5" s="5" t="inlineStr">
        <is>
          <t>Removes the hardest technical item - no PDF scraping, reliable daily delivery, proper history. Requires inquiry to PDS Client Services.</t>
        </is>
      </c>
      <c r="D5" s="5" t="inlineStr">
        <is>
          <t>Unknown - ask PDS</t>
        </is>
      </c>
    </row>
    <row r="6">
      <c r="A6" s="5" t="inlineStr">
        <is>
          <t>Buy upfront</t>
        </is>
      </c>
      <c r="B6" s="5" t="inlineStr">
        <is>
          <t>Scraping API (Bright Data or ScrapingBee)</t>
        </is>
      </c>
      <c r="C6" s="5" t="inlineStr">
        <is>
          <t>Eliminates anti-bot / headless-Chrome risk on BSP, BAP, PSE Edge. Keeps the PH scrapers reliable.</t>
        </is>
      </c>
      <c r="D6" s="5" t="inlineStr">
        <is>
          <t>~$50-200 / month</t>
        </is>
      </c>
    </row>
    <row r="7">
      <c r="A7" s="5" t="inlineStr">
        <is>
          <t>Free</t>
        </is>
      </c>
      <c r="B7" s="5" t="inlineStr">
        <is>
          <t>EIA API key (eia.gov)</t>
        </is>
      </c>
      <c r="C7" s="5" t="inlineStr">
        <is>
          <t>Brent crude daily spot + full history. Keep as cross-check even if the vendor covers it.</t>
        </is>
      </c>
      <c r="D7" s="5" t="inlineStr">
        <is>
          <t>Free - registration only</t>
        </is>
      </c>
    </row>
    <row r="8">
      <c r="A8" s="5" t="inlineStr">
        <is>
          <t>Free</t>
        </is>
      </c>
      <c r="B8" s="5" t="inlineStr">
        <is>
          <t>BSP / BAP / PDS / PSA / PSE Edge websites</t>
        </is>
      </c>
      <c r="C8" s="5" t="inlineStr">
        <is>
          <t>Government / industry sources - scraped. Attribute source + timestamp on each card.</t>
        </is>
      </c>
      <c r="D8" s="5" t="inlineStr">
        <is>
          <t>Free</t>
        </is>
      </c>
    </row>
    <row r="9">
      <c r="A9" s="5" t="inlineStr">
        <is>
          <t>Free (open source)</t>
        </is>
      </c>
      <c r="B9" s="5" t="inlineStr">
        <is>
          <t>Filament v3, Laravel Horizon, Browsershot, dom-crawler, PDF parser, maatwebsite/excel, filament-apex-charts</t>
        </is>
      </c>
      <c r="C9" s="5" t="inlineStr">
        <is>
          <t>Libraries used to build the app.</t>
        </is>
      </c>
      <c r="D9" s="5" t="inlineStr">
        <is>
          <t>Free</t>
        </is>
      </c>
    </row>
    <row r="10">
      <c r="A10" s="5" t="inlineStr">
        <is>
          <t>Input from client</t>
        </is>
      </c>
      <c r="B10" s="5" t="inlineStr">
        <is>
          <t>Jonar's Word document (URL list + design structure)</t>
        </is>
      </c>
      <c r="C10" s="5" t="inlineStr">
        <is>
          <t>Confirms exact scraper targets. Blocking for the data-source work.</t>
        </is>
      </c>
      <c r="D10" s="5" t="inlineStr">
        <is>
          <t>-</t>
        </is>
      </c>
    </row>
    <row r="11">
      <c r="A11" s="5" t="inlineStr">
        <is>
          <t>Input from client</t>
        </is>
      </c>
      <c r="B11" s="5" t="inlineStr">
        <is>
          <t>Treasury's daily Excel rate sheet</t>
        </is>
      </c>
      <c r="C11" s="5" t="inlineStr">
        <is>
          <t>Defines database fields + the export format.</t>
        </is>
      </c>
      <c r="D11" s="5" t="inlineStr">
        <is>
          <t>-</t>
        </is>
      </c>
    </row>
    <row r="12">
      <c r="A12" s="5" t="inlineStr">
        <is>
          <t>Input from client</t>
        </is>
      </c>
      <c r="B12" s="5" t="inlineStr">
        <is>
          <t>Captured HTML / PDF samples of each source page, taken now</t>
        </is>
      </c>
      <c r="C12" s="5" t="inlineStr">
        <is>
          <t>Parser fixtures + protection against a mid-project site redesign.</t>
        </is>
      </c>
      <c r="D12" s="5" t="inlineStr">
        <is>
          <t>-</t>
        </is>
      </c>
    </row>
    <row r="13">
      <c r="A13" s="5" t="inlineStr">
        <is>
          <t>Input from client</t>
        </is>
      </c>
      <c r="B13" s="5" t="inlineStr">
        <is>
          <t>Alert thresholds from Treasury</t>
        </is>
      </c>
      <c r="C13" s="5" t="inlineStr">
        <is>
          <t>What counts as a 'big move' worth alerting, per indicator.</t>
        </is>
      </c>
      <c r="D13" s="5" t="inlineStr">
        <is>
          <t>-</t>
        </is>
      </c>
    </row>
    <row r="14">
      <c r="A14" s="5" t="inlineStr">
        <is>
          <t>Input from client</t>
        </is>
      </c>
      <c r="B14" s="5" t="inlineStr">
        <is>
          <t>PH market holiday calendar</t>
        </is>
      </c>
      <c r="C14" s="5" t="inlineStr">
        <is>
          <t>Business-day logic / avoid false 'stale data' alerts.</t>
        </is>
      </c>
      <c r="D14" s="5" t="inlineStr">
        <is>
          <t>-</t>
        </is>
      </c>
    </row>
    <row r="15">
      <c r="A15" s="5" t="inlineStr">
        <is>
          <t>Process</t>
        </is>
      </c>
      <c r="B15" s="5" t="inlineStr">
        <is>
          <t>Sign-off to display PSE Edge + vendor data on an internal dashboard</t>
        </is>
      </c>
      <c r="C15" s="5" t="inlineStr">
        <is>
          <t>Short legal / compliance check.</t>
        </is>
      </c>
      <c r="D15" s="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</cols>
  <sheetData>
    <row r="1">
      <c r="A1" s="1" t="inlineStr">
        <is>
          <t>1-Day Proof of Concept scope (with Claude Code)</t>
        </is>
      </c>
    </row>
    <row r="3">
      <c r="A3" s="3" t="inlineStr">
        <is>
          <t>In scope (real &amp; working)</t>
        </is>
      </c>
      <c r="B3" s="3" t="inlineStr">
        <is>
          <t>Mocked / seeded from screenshots</t>
        </is>
      </c>
      <c r="C3" s="3" t="inlineStr">
        <is>
          <t>Not in the PoC</t>
        </is>
      </c>
    </row>
    <row r="4">
      <c r="A4" s="5" t="inlineStr">
        <is>
          <t>Laravel 11 + Filament v3 running locally (SQLite)</t>
        </is>
      </c>
      <c r="B4" s="5" t="inlineStr">
        <is>
          <t>BSP FX summary table</t>
        </is>
      </c>
      <c r="C4" s="5" t="inlineStr">
        <is>
          <t>Paid vendor API (not purchased yet)</t>
        </is>
      </c>
    </row>
    <row r="5">
      <c r="A5" s="5" t="inlineStr">
        <is>
          <t>Core schema: sources, indicators, values, curve points, runs</t>
        </is>
      </c>
      <c r="B5" s="5" t="inlineStr">
        <is>
          <t>BVAL tenor rates</t>
        </is>
      </c>
      <c r="C5" s="5" t="inlineStr">
        <is>
          <t>BVAL PDF parsing</t>
        </is>
      </c>
    </row>
    <row r="6">
      <c r="A6" s="5" t="inlineStr">
        <is>
          <t>SourceFetcher abstraction + one 'market:pull' command</t>
        </is>
      </c>
      <c r="B6" s="5" t="inlineStr">
        <is>
          <t>LME Lead prices + curve</t>
        </is>
      </c>
      <c r="C6" s="5" t="inlineStr">
        <is>
          <t>1-year historical backfill</t>
        </is>
      </c>
    </row>
    <row r="7">
      <c r="A7" s="5" t="inlineStr">
        <is>
          <t>2-3 LIVE sources: PSE Edge (JSON), EIA Brent, one scrape (BSP or PSA)</t>
        </is>
      </c>
      <c r="B7" s="5" t="inlineStr">
        <is>
          <t>GDP figures</t>
        </is>
      </c>
      <c r="C7" s="5" t="inlineStr">
        <is>
          <t>Email alerts</t>
        </is>
      </c>
    </row>
    <row r="8">
      <c r="A8" s="5" t="inlineStr">
        <is>
          <t>Dashboard page matching the screenshot layout + section tabs</t>
        </is>
      </c>
      <c r="B8" s="5" t="inlineStr">
        <is>
          <t>Gold &amp; wheat prices</t>
        </is>
      </c>
      <c r="C8" s="5" t="inlineStr">
        <is>
          <t>Excel rate-sheet export</t>
        </is>
      </c>
    </row>
    <row r="9">
      <c r="A9" s="5" t="inlineStr">
        <is>
          <t>Value + delta + as-of timestamp on cards</t>
        </is>
      </c>
      <c r="B9" s="5" t="inlineStr">
        <is>
          <t>(all tagged 'sample data')</t>
        </is>
      </c>
      <c r="C9" s="5" t="inlineStr">
        <is>
          <t>Admin CRUD screens</t>
        </is>
      </c>
    </row>
    <row r="10">
      <c r="A10" s="5" t="inlineStr">
        <is>
          <t>Charts: BVAL curve, LME curve, 1-year commodity history</t>
        </is>
      </c>
      <c r="B10" s="4" t="n"/>
      <c r="C10" s="5" t="inlineStr">
        <is>
          <t>Auth roles / permissions</t>
        </is>
      </c>
    </row>
    <row r="11">
      <c r="A11" s="5" t="inlineStr">
        <is>
          <t>Working 'Refresh' button that re-runs the live sources</t>
        </is>
      </c>
      <c r="B11" s="4" t="n"/>
      <c r="C11" s="5" t="inlineStr">
        <is>
          <t>Automated tests &amp; hardening</t>
        </is>
      </c>
    </row>
    <row r="13">
      <c r="A13" s="11" t="inlineStr">
        <is>
          <t>Outcome: a screen-shareable app that looks like the target dashboard, with 3 cards showing genuinely live data. The PoC code becomes the Phase 1 foundation, not throwaway.</t>
        </is>
      </c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2026-09-09T09:34:56Z</dcterms:created>
  <dcterms:modified xsi:type="dcterms:W3CDTF">2026-09-09T09:34:57Z</dcterms:modified>
</cp:coreProperties>
</file>